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2" activeTab="8"/>
  </bookViews>
  <sheets>
    <sheet name="男子25米蛙泳 " sheetId="3" r:id="rId1"/>
    <sheet name="女子25米蛙泳 " sheetId="4" r:id="rId2"/>
    <sheet name="男子25米自由泳" sheetId="1" r:id="rId3"/>
    <sheet name="女子25米自由泳 " sheetId="2" r:id="rId4"/>
    <sheet name="男子50米自由泳" sheetId="5" r:id="rId5"/>
    <sheet name="女子50米自由泳 " sheetId="6" r:id="rId6"/>
    <sheet name="男子50米蛙泳 " sheetId="7" r:id="rId7"/>
    <sheet name="女子50米蛙泳 " sheetId="8" r:id="rId8"/>
    <sheet name="团体6×25米男女混合接力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<sst xmlns="http://schemas.openxmlformats.org/spreadsheetml/2006/main" count="233" uniqueCount="147">
  <si>
    <t>男子25米蛙泳</t>
  </si>
  <si>
    <t>注意：成绩一栏写入所用的秒数，不需要单位，排名会自动生成</t>
  </si>
  <si>
    <t>姓名</t>
  </si>
  <si>
    <t>成绩</t>
  </si>
  <si>
    <t>排名</t>
  </si>
  <si>
    <t>备注</t>
  </si>
  <si>
    <t>马铭凯</t>
  </si>
  <si>
    <t>腾德源</t>
  </si>
  <si>
    <t>朱琦焕</t>
  </si>
  <si>
    <t>章贤海</t>
  </si>
  <si>
    <t>潘青伦</t>
  </si>
  <si>
    <t>雷志翔</t>
  </si>
  <si>
    <t>余奕哲</t>
  </si>
  <si>
    <t>李安睿</t>
  </si>
  <si>
    <t>唐学垚</t>
  </si>
  <si>
    <t>陈哲煊</t>
  </si>
  <si>
    <t>唐家明</t>
  </si>
  <si>
    <t>王悦恒</t>
  </si>
  <si>
    <t>张益谦</t>
  </si>
  <si>
    <t>柴浩</t>
  </si>
  <si>
    <t>邹子鑫</t>
  </si>
  <si>
    <t>陈峻辉</t>
  </si>
  <si>
    <t>朱润康</t>
  </si>
  <si>
    <t>李林</t>
  </si>
  <si>
    <t>李易帛</t>
  </si>
  <si>
    <t>程冠鸣</t>
  </si>
  <si>
    <t>胡潇</t>
  </si>
  <si>
    <t>吴景琛</t>
  </si>
  <si>
    <t>郑兴文</t>
  </si>
  <si>
    <t>陈俊</t>
  </si>
  <si>
    <t>罗荣深</t>
  </si>
  <si>
    <t>徐桂林</t>
  </si>
  <si>
    <t>谢零夏</t>
  </si>
  <si>
    <t>童越</t>
  </si>
  <si>
    <t>肖永壹</t>
  </si>
  <si>
    <t>李尚源</t>
  </si>
  <si>
    <t>郝烁同</t>
  </si>
  <si>
    <t>张昕</t>
  </si>
  <si>
    <t>钱宇扬</t>
  </si>
  <si>
    <t>罗淏予</t>
  </si>
  <si>
    <t>沈嘉琦</t>
  </si>
  <si>
    <t>庆研</t>
  </si>
  <si>
    <t>赵熙睿</t>
  </si>
  <si>
    <t>女子25米蛙泳</t>
  </si>
  <si>
    <t>石沁瑶</t>
  </si>
  <si>
    <t>Kseniia Dobychina</t>
  </si>
  <si>
    <t>帅亦斐</t>
  </si>
  <si>
    <t>李佳鸿</t>
  </si>
  <si>
    <t>娄晨靓</t>
  </si>
  <si>
    <t>黄雨涵</t>
  </si>
  <si>
    <t>袁媛</t>
  </si>
  <si>
    <t>朱涵玥</t>
  </si>
  <si>
    <t>岳昕瑜</t>
  </si>
  <si>
    <t>秦语泽</t>
  </si>
  <si>
    <t>路双宁</t>
  </si>
  <si>
    <t>仲子妍</t>
  </si>
  <si>
    <t>陈昱含</t>
  </si>
  <si>
    <t>余欣然</t>
  </si>
  <si>
    <t>钱玥颔</t>
  </si>
  <si>
    <t>李红霜</t>
  </si>
  <si>
    <t>王菁瑶</t>
  </si>
  <si>
    <t>安彤</t>
  </si>
  <si>
    <t>刘钰杰</t>
  </si>
  <si>
    <t>李恩琪</t>
  </si>
  <si>
    <t>迪娜拉</t>
  </si>
  <si>
    <t>索怡璇</t>
  </si>
  <si>
    <t>薄奕雯</t>
  </si>
  <si>
    <t>曾欣星</t>
  </si>
  <si>
    <t>男子25米自由泳</t>
  </si>
  <si>
    <t>蒋佩璋</t>
  </si>
  <si>
    <t>闻庆晟</t>
  </si>
  <si>
    <t>彭乐阳</t>
  </si>
  <si>
    <t>杜彦廷</t>
  </si>
  <si>
    <t>顾岳辰</t>
  </si>
  <si>
    <t>黄博闻</t>
  </si>
  <si>
    <t>张圣丁</t>
  </si>
  <si>
    <t>黄嘉禾</t>
  </si>
  <si>
    <t>朱悦</t>
  </si>
  <si>
    <t>赵俊凯</t>
  </si>
  <si>
    <t>席睿扬</t>
  </si>
  <si>
    <t>徐嘉成</t>
  </si>
  <si>
    <t>梁炜崚</t>
  </si>
  <si>
    <t>刘卡罗琳</t>
  </si>
  <si>
    <t>张晓正</t>
  </si>
  <si>
    <t>刘睿一</t>
  </si>
  <si>
    <t>李政阳</t>
  </si>
  <si>
    <t>陈岸洋</t>
  </si>
  <si>
    <t>陈天赐</t>
  </si>
  <si>
    <t>屈楷翔</t>
  </si>
  <si>
    <t>傅麒玮</t>
  </si>
  <si>
    <t>夏程锋</t>
  </si>
  <si>
    <t>杨人好</t>
  </si>
  <si>
    <t>王家科</t>
  </si>
  <si>
    <t>方悦</t>
  </si>
  <si>
    <t>蔡佳岑</t>
  </si>
  <si>
    <t>陆晨昊</t>
  </si>
  <si>
    <t>侯勤博</t>
  </si>
  <si>
    <t>唐维津</t>
  </si>
  <si>
    <t>女子25米自由泳</t>
  </si>
  <si>
    <t>汪诺延</t>
  </si>
  <si>
    <t>李星熹</t>
  </si>
  <si>
    <t>李歆姝</t>
  </si>
  <si>
    <t>周舒翼</t>
  </si>
  <si>
    <t>陈明丽</t>
  </si>
  <si>
    <t>张云涵</t>
  </si>
  <si>
    <t>范越</t>
  </si>
  <si>
    <t>徐之瀛</t>
  </si>
  <si>
    <t>孙宇</t>
  </si>
  <si>
    <t>王玥爱</t>
  </si>
  <si>
    <t>犯规</t>
  </si>
  <si>
    <t>白梦娇</t>
  </si>
  <si>
    <t>曾慧君</t>
  </si>
  <si>
    <t>陈怡融</t>
  </si>
  <si>
    <t>张乐昀</t>
  </si>
  <si>
    <t>男子50米自由泳</t>
  </si>
  <si>
    <t>陈畅杰</t>
  </si>
  <si>
    <t>陈晓风</t>
  </si>
  <si>
    <t>张伦豪</t>
  </si>
  <si>
    <t>公成</t>
  </si>
  <si>
    <t>王海曦</t>
  </si>
  <si>
    <t>关德龙</t>
  </si>
  <si>
    <t>温晓林</t>
  </si>
  <si>
    <t>女子50米自由泳</t>
  </si>
  <si>
    <t>蔡欣云</t>
  </si>
  <si>
    <t>任可</t>
  </si>
  <si>
    <t>刘雨欣</t>
  </si>
  <si>
    <t>沈辛汶</t>
  </si>
  <si>
    <t>男子50米蛙泳</t>
  </si>
  <si>
    <t>徐正</t>
  </si>
  <si>
    <t>李思学</t>
  </si>
  <si>
    <t>常天宇</t>
  </si>
  <si>
    <t>付翔宇</t>
  </si>
  <si>
    <t>女子50米蛙泳</t>
  </si>
  <si>
    <t>黄钟韵</t>
  </si>
  <si>
    <t>徐子晗</t>
  </si>
  <si>
    <t>包一诺</t>
  </si>
  <si>
    <t>曾锦杨</t>
  </si>
  <si>
    <t>顾宝怡</t>
  </si>
  <si>
    <t>胡珂睿</t>
  </si>
  <si>
    <t>团体6*25男女混合接力</t>
  </si>
  <si>
    <t>学院名</t>
  </si>
  <si>
    <t>理学院</t>
  </si>
  <si>
    <t>机自学院</t>
  </si>
  <si>
    <t>体育学院</t>
  </si>
  <si>
    <t>中欧学院</t>
  </si>
  <si>
    <t>未来技术学院</t>
  </si>
  <si>
    <t>材料学院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</si>
</sst>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:ss.00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I16" sqref="I16:I17"/>
    </sheetView>
  </sheetViews>
  <sheetFormatPr defaultColWidth="9" defaultRowHeight="14" outlineLevelCol="4"/>
  <cols>
    <col min="5" max="5" width="45.5454545454545" customWidth="1"/>
  </cols>
  <sheetData>
    <row r="1" ht="28" spans="1:5">
      <c r="A1" s="1" t="s">
        <v>0</v>
      </c>
      <c r="B1" s="1"/>
      <c r="C1" s="1"/>
      <c r="D1" s="1"/>
      <c r="E1" s="14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</row>
    <row r="3" spans="1:5">
      <c r="A3" s="3" t="s">
        <v>6</v>
      </c>
      <c r="B3" s="5">
        <v>18.84</v>
      </c>
      <c r="C3" s="5">
        <f t="shared" ref="C3:C39" si="0">RANK(B3,$B$3:$B$39,1)</f>
        <v>1</v>
      </c>
      <c r="D3" s="5"/>
    </row>
    <row r="4" spans="1:5">
      <c r="A4" s="3" t="s">
        <v>7</v>
      </c>
      <c r="B4" s="5">
        <v>19.4</v>
      </c>
      <c r="C4" s="5">
        <f t="shared" si="0"/>
        <v>2</v>
      </c>
      <c r="D4" s="5"/>
    </row>
    <row r="5" spans="1:5">
      <c r="A5" s="3" t="s">
        <v>8</v>
      </c>
      <c r="B5" s="5">
        <v>20.59</v>
      </c>
      <c r="C5" s="5">
        <f t="shared" si="0"/>
        <v>3</v>
      </c>
      <c r="D5" s="5"/>
    </row>
    <row r="6" spans="1:5">
      <c r="A6" s="3" t="s">
        <v>9</v>
      </c>
      <c r="B6" s="5">
        <v>20.61</v>
      </c>
      <c r="C6" s="5">
        <f t="shared" si="0"/>
        <v>4</v>
      </c>
      <c r="D6" s="5"/>
    </row>
    <row r="7" spans="1:5">
      <c r="A7" s="3" t="s">
        <v>10</v>
      </c>
      <c r="B7" s="5">
        <v>20.8</v>
      </c>
      <c r="C7" s="5">
        <f t="shared" si="0"/>
        <v>5</v>
      </c>
      <c r="D7" s="5"/>
    </row>
    <row r="8" spans="1:5">
      <c r="A8" s="3" t="s">
        <v>11</v>
      </c>
      <c r="B8" s="5">
        <v>21.5</v>
      </c>
      <c r="C8" s="5">
        <f t="shared" si="0"/>
        <v>6</v>
      </c>
      <c r="D8" s="5"/>
    </row>
    <row r="9" spans="1:5">
      <c r="A9" s="3" t="s">
        <v>12</v>
      </c>
      <c r="B9" s="5">
        <v>21.75</v>
      </c>
      <c r="C9" s="5">
        <f t="shared" si="0"/>
        <v>7</v>
      </c>
      <c r="D9" s="5"/>
    </row>
    <row r="10" spans="1:5">
      <c r="A10" s="3" t="s">
        <v>13</v>
      </c>
      <c r="B10" s="5">
        <v>21.76</v>
      </c>
      <c r="C10" s="5">
        <f t="shared" si="0"/>
        <v>8</v>
      </c>
      <c r="D10" s="5"/>
    </row>
    <row r="11" spans="1:5">
      <c r="A11" s="3" t="s">
        <v>14</v>
      </c>
      <c r="B11" s="5">
        <v>22</v>
      </c>
      <c r="C11" s="5">
        <f t="shared" si="0"/>
        <v>9</v>
      </c>
      <c r="D11" s="5"/>
    </row>
    <row r="12" spans="1:5">
      <c r="A12" s="3" t="s">
        <v>15</v>
      </c>
      <c r="B12" s="5">
        <v>22.27</v>
      </c>
      <c r="C12" s="5">
        <f t="shared" si="0"/>
        <v>10</v>
      </c>
      <c r="D12" s="5"/>
    </row>
    <row r="13" spans="1:5">
      <c r="A13" s="3" t="s">
        <v>16</v>
      </c>
      <c r="B13" s="5">
        <v>22.34</v>
      </c>
      <c r="C13" s="5">
        <f t="shared" si="0"/>
        <v>11</v>
      </c>
      <c r="D13" s="5"/>
    </row>
    <row r="14" spans="1:5">
      <c r="A14" s="7" t="s">
        <v>17</v>
      </c>
      <c r="B14" s="5">
        <v>22.41</v>
      </c>
      <c r="C14" s="5">
        <f t="shared" si="0"/>
        <v>12</v>
      </c>
      <c r="D14" s="5"/>
    </row>
    <row r="15" spans="1:5">
      <c r="A15" s="3" t="s">
        <v>18</v>
      </c>
      <c r="B15" s="5">
        <v>22.45</v>
      </c>
      <c r="C15" s="5">
        <f t="shared" si="0"/>
        <v>13</v>
      </c>
      <c r="D15" s="5"/>
    </row>
    <row r="16" spans="1:5">
      <c r="A16" s="3" t="s">
        <v>19</v>
      </c>
      <c r="B16" s="5">
        <v>22.73</v>
      </c>
      <c r="C16" s="5">
        <f t="shared" si="0"/>
        <v>14</v>
      </c>
      <c r="D16" s="5"/>
    </row>
    <row r="17" spans="1:4">
      <c r="A17" s="3" t="s">
        <v>20</v>
      </c>
      <c r="B17" s="5">
        <v>23.25</v>
      </c>
      <c r="C17" s="5">
        <f t="shared" si="0"/>
        <v>15</v>
      </c>
      <c r="D17" s="5"/>
    </row>
    <row r="18" spans="1:4">
      <c r="A18" s="3" t="s">
        <v>21</v>
      </c>
      <c r="B18" s="5">
        <v>23.45</v>
      </c>
      <c r="C18" s="5">
        <f t="shared" si="0"/>
        <v>16</v>
      </c>
      <c r="D18" s="5"/>
    </row>
    <row r="19" spans="1:4">
      <c r="A19" s="3" t="s">
        <v>22</v>
      </c>
      <c r="B19" s="5">
        <v>24.14</v>
      </c>
      <c r="C19" s="5">
        <f t="shared" si="0"/>
        <v>17</v>
      </c>
      <c r="D19" s="5"/>
    </row>
    <row r="20" spans="1:4">
      <c r="A20" s="3" t="s">
        <v>23</v>
      </c>
      <c r="B20" s="5">
        <v>24.99</v>
      </c>
      <c r="C20" s="5">
        <f t="shared" si="0"/>
        <v>18</v>
      </c>
      <c r="D20" s="5"/>
    </row>
    <row r="21" spans="1:4">
      <c r="A21" s="3" t="s">
        <v>24</v>
      </c>
      <c r="B21" s="5">
        <v>25.04</v>
      </c>
      <c r="C21" s="5">
        <f t="shared" si="0"/>
        <v>19</v>
      </c>
      <c r="D21" s="5"/>
    </row>
    <row r="22" spans="1:4">
      <c r="A22" s="3" t="s">
        <v>25</v>
      </c>
      <c r="B22" s="5">
        <v>25.79</v>
      </c>
      <c r="C22" s="5">
        <f t="shared" si="0"/>
        <v>20</v>
      </c>
      <c r="D22" s="5"/>
    </row>
    <row r="23" spans="1:4">
      <c r="A23" s="3" t="s">
        <v>26</v>
      </c>
      <c r="B23" s="5">
        <v>25.81</v>
      </c>
      <c r="C23" s="5">
        <f t="shared" si="0"/>
        <v>21</v>
      </c>
      <c r="D23" s="5"/>
    </row>
    <row r="24" spans="1:4">
      <c r="A24" s="3" t="s">
        <v>27</v>
      </c>
      <c r="B24" s="5">
        <v>25.83</v>
      </c>
      <c r="C24" s="5">
        <f t="shared" si="0"/>
        <v>22</v>
      </c>
      <c r="D24" s="5"/>
    </row>
    <row r="25" spans="1:4">
      <c r="A25" s="3" t="s">
        <v>28</v>
      </c>
      <c r="B25" s="5">
        <v>26.49</v>
      </c>
      <c r="C25" s="5">
        <f t="shared" si="0"/>
        <v>23</v>
      </c>
      <c r="D25" s="5"/>
    </row>
    <row r="26" spans="1:4">
      <c r="A26" s="3" t="s">
        <v>29</v>
      </c>
      <c r="B26" s="5">
        <v>26.95</v>
      </c>
      <c r="C26" s="5">
        <f t="shared" si="0"/>
        <v>24</v>
      </c>
      <c r="D26" s="5"/>
    </row>
    <row r="27" spans="1:4">
      <c r="A27" s="3" t="s">
        <v>30</v>
      </c>
      <c r="B27" s="5">
        <v>27.1</v>
      </c>
      <c r="C27" s="5">
        <f t="shared" si="0"/>
        <v>25</v>
      </c>
      <c r="D27" s="5"/>
    </row>
    <row r="28" spans="1:4">
      <c r="A28" s="3" t="s">
        <v>31</v>
      </c>
      <c r="B28" s="5">
        <v>27.17</v>
      </c>
      <c r="C28" s="5">
        <f t="shared" si="0"/>
        <v>26</v>
      </c>
      <c r="D28" s="5"/>
    </row>
    <row r="29" spans="1:4">
      <c r="A29" s="3" t="s">
        <v>32</v>
      </c>
      <c r="B29" s="5">
        <v>28.2</v>
      </c>
      <c r="C29" s="5">
        <f t="shared" si="0"/>
        <v>27</v>
      </c>
      <c r="D29" s="5"/>
    </row>
    <row r="30" spans="1:4">
      <c r="A30" s="3" t="s">
        <v>33</v>
      </c>
      <c r="B30" s="5">
        <v>28.86</v>
      </c>
      <c r="C30" s="5">
        <f t="shared" si="0"/>
        <v>28</v>
      </c>
      <c r="D30" s="5"/>
    </row>
    <row r="31" spans="1:4">
      <c r="A31" s="3" t="s">
        <v>34</v>
      </c>
      <c r="B31" s="5">
        <v>29.39</v>
      </c>
      <c r="C31" s="5">
        <f t="shared" si="0"/>
        <v>29</v>
      </c>
      <c r="D31" s="5"/>
    </row>
    <row r="32" spans="1:4">
      <c r="A32" s="3" t="s">
        <v>35</v>
      </c>
      <c r="B32" s="5"/>
      <c r="C32" s="5" t="e">
        <f t="shared" si="0"/>
        <v>#N/A</v>
      </c>
      <c r="D32" s="5"/>
    </row>
    <row r="33" spans="1:4">
      <c r="A33" s="3" t="s">
        <v>36</v>
      </c>
      <c r="B33" s="5"/>
      <c r="C33" s="5" t="e">
        <f t="shared" si="0"/>
        <v>#N/A</v>
      </c>
      <c r="D33" s="5"/>
    </row>
    <row r="34" spans="1:4">
      <c r="A34" s="3" t="s">
        <v>37</v>
      </c>
      <c r="B34" s="5"/>
      <c r="C34" s="5" t="e">
        <f t="shared" si="0"/>
        <v>#N/A</v>
      </c>
      <c r="D34" s="5"/>
    </row>
    <row r="35" spans="1:4">
      <c r="A35" s="3" t="s">
        <v>38</v>
      </c>
      <c r="B35" s="5"/>
      <c r="C35" s="5" t="e">
        <f t="shared" si="0"/>
        <v>#N/A</v>
      </c>
      <c r="D35" s="5"/>
    </row>
    <row r="36" spans="1:4">
      <c r="A36" s="3" t="s">
        <v>39</v>
      </c>
      <c r="B36" s="5"/>
      <c r="C36" s="5" t="e">
        <f t="shared" si="0"/>
        <v>#N/A</v>
      </c>
      <c r="D36" s="5"/>
    </row>
    <row r="37" spans="1:4">
      <c r="A37" s="3" t="s">
        <v>40</v>
      </c>
      <c r="B37" s="5"/>
      <c r="C37" s="5" t="e">
        <f t="shared" si="0"/>
        <v>#N/A</v>
      </c>
      <c r="D37" s="5"/>
    </row>
    <row r="38" spans="1:4">
      <c r="A38" s="3" t="s">
        <v>41</v>
      </c>
      <c r="B38" s="5"/>
      <c r="C38" s="5" t="e">
        <f t="shared" si="0"/>
        <v>#N/A</v>
      </c>
      <c r="D38" s="5"/>
    </row>
    <row r="39" spans="1:4">
      <c r="A39" s="3" t="s">
        <v>42</v>
      </c>
      <c r="B39" s="5"/>
      <c r="C39" s="5" t="e">
        <f t="shared" si="0"/>
        <v>#N/A</v>
      </c>
      <c r="D39" s="5"/>
    </row>
  </sheetData>
  <sortState ref="M4:M6">
    <sortCondition ref="M4"/>
  </sortState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130" zoomScaleNormal="130" workbookViewId="0">
      <selection activeCell="I4" sqref="I4"/>
    </sheetView>
  </sheetViews>
  <sheetFormatPr defaultColWidth="8.72727272727273" defaultRowHeight="14" outlineLevelCol="3"/>
  <cols>
    <col min="1" max="1" width="8.63636363636364" customWidth="1"/>
  </cols>
  <sheetData>
    <row r="1" spans="1:4">
      <c r="A1" s="13" t="s">
        <v>43</v>
      </c>
      <c r="B1" s="13"/>
      <c r="C1" s="13"/>
      <c r="D1" s="13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44</v>
      </c>
      <c r="B3" s="5">
        <v>23.18</v>
      </c>
      <c r="C3" s="5">
        <f>RANK(B3,$B$3:$B$26,1)</f>
        <v>1</v>
      </c>
      <c r="D3" s="5"/>
    </row>
    <row r="4" ht="42" spans="1:4">
      <c r="A4" s="6" t="s">
        <v>45</v>
      </c>
      <c r="B4" s="5">
        <v>23.43</v>
      </c>
      <c r="C4" s="5">
        <f>RANK(B4,$B$3:$B$26,1)</f>
        <v>2</v>
      </c>
      <c r="D4" s="5"/>
    </row>
    <row r="5" spans="1:4">
      <c r="A5" s="3" t="s">
        <v>46</v>
      </c>
      <c r="B5" s="5">
        <v>26.64</v>
      </c>
      <c r="C5" s="5">
        <f>RANK(B5,$B$3:$B$26,1)</f>
        <v>3</v>
      </c>
      <c r="D5" s="5"/>
    </row>
    <row r="6" spans="1:4">
      <c r="A6" s="3" t="s">
        <v>47</v>
      </c>
      <c r="B6" s="5">
        <v>27.28</v>
      </c>
      <c r="C6" s="5">
        <f>RANK(B6,$B$3:$B$26,1)</f>
        <v>4</v>
      </c>
      <c r="D6" s="5"/>
    </row>
    <row r="7" spans="1:4">
      <c r="A7" s="3" t="s">
        <v>48</v>
      </c>
      <c r="B7" s="5">
        <v>30.24</v>
      </c>
      <c r="C7" s="5">
        <f>RANK(B7,$B$3:$B$26,1)</f>
        <v>5</v>
      </c>
      <c r="D7" s="5"/>
    </row>
    <row r="8" spans="1:4">
      <c r="A8" s="3" t="s">
        <v>49</v>
      </c>
      <c r="B8" s="5">
        <v>30.73</v>
      </c>
      <c r="C8" s="5">
        <f>RANK(B8,$B$3:$B$26,1)</f>
        <v>6</v>
      </c>
      <c r="D8" s="5"/>
    </row>
    <row r="9" spans="1:4">
      <c r="A9" s="3" t="s">
        <v>50</v>
      </c>
      <c r="B9" s="5">
        <v>32.97</v>
      </c>
      <c r="C9" s="5">
        <f>RANK(B9,$B$3:$B$26,1)</f>
        <v>7</v>
      </c>
      <c r="D9" s="5"/>
    </row>
    <row r="10" spans="1:4">
      <c r="A10" s="3" t="s">
        <v>51</v>
      </c>
      <c r="B10" s="5">
        <v>34.76</v>
      </c>
      <c r="C10" s="5">
        <f>RANK(B10,$B$3:$B$26,1)</f>
        <v>8</v>
      </c>
      <c r="D10" s="5"/>
    </row>
    <row r="11" spans="1:4">
      <c r="A11" s="3" t="s">
        <v>52</v>
      </c>
      <c r="B11" s="5">
        <v>34.78</v>
      </c>
      <c r="C11" s="5">
        <f>RANK(B11,$B$3:$B$26,1)</f>
        <v>9</v>
      </c>
      <c r="D11" s="5"/>
    </row>
    <row r="12" spans="1:4">
      <c r="A12" s="3" t="s">
        <v>53</v>
      </c>
      <c r="B12" s="5">
        <v>34.97</v>
      </c>
      <c r="C12" s="5">
        <f>RANK(B12,$B$3:$B$26,1)</f>
        <v>10</v>
      </c>
      <c r="D12" s="5"/>
    </row>
    <row r="13" spans="1:4">
      <c r="A13" s="3" t="s">
        <v>54</v>
      </c>
      <c r="B13" s="5">
        <v>35.29</v>
      </c>
      <c r="C13" s="5">
        <f>RANK(B13,$B$3:$B$26,1)</f>
        <v>11</v>
      </c>
      <c r="D13" s="5"/>
    </row>
    <row r="14" spans="1:4">
      <c r="A14" s="3" t="s">
        <v>55</v>
      </c>
      <c r="B14" s="5">
        <v>35.71</v>
      </c>
      <c r="C14" s="5">
        <f>RANK(B14,$B$3:$B$26,1)</f>
        <v>12</v>
      </c>
      <c r="D14" s="5"/>
    </row>
    <row r="15" spans="1:4">
      <c r="A15" s="3" t="s">
        <v>56</v>
      </c>
      <c r="B15" s="5">
        <v>45.77</v>
      </c>
      <c r="C15" s="5">
        <f>RANK(B15,$B$3:$B$26,1)</f>
        <v>13</v>
      </c>
      <c r="D15" s="5"/>
    </row>
    <row r="16" spans="1:4">
      <c r="A16" s="3" t="s">
        <v>57</v>
      </c>
      <c r="B16" s="5"/>
      <c r="C16" s="5" t="e">
        <f>RANK(B16,$B$3:$B$26,1)</f>
        <v>#N/A</v>
      </c>
      <c r="D16" s="5"/>
    </row>
    <row r="17" spans="1:4">
      <c r="A17" s="3" t="s">
        <v>58</v>
      </c>
      <c r="B17" s="5"/>
      <c r="C17" s="5" t="e">
        <f>RANK(B17,$B$3:$B$26,1)</f>
        <v>#N/A</v>
      </c>
      <c r="D17" s="5"/>
    </row>
    <row r="18" spans="1:4">
      <c r="A18" s="3" t="s">
        <v>59</v>
      </c>
      <c r="B18" s="5"/>
      <c r="C18" s="5" t="e">
        <f>RANK(B18,$B$3:$B$26,1)</f>
        <v>#N/A</v>
      </c>
      <c r="D18" s="5"/>
    </row>
    <row r="19" spans="1:4">
      <c r="A19" s="3" t="s">
        <v>60</v>
      </c>
      <c r="B19" s="5"/>
      <c r="C19" s="5" t="e">
        <f>RANK(B19,$B$3:$B$26,1)</f>
        <v>#N/A</v>
      </c>
      <c r="D19" s="5"/>
    </row>
    <row r="20" spans="1:4">
      <c r="A20" s="3" t="s">
        <v>61</v>
      </c>
      <c r="B20" s="5"/>
      <c r="C20" s="5" t="e">
        <f>RANK(B20,$B$3:$B$26,1)</f>
        <v>#N/A</v>
      </c>
      <c r="D20" s="5"/>
    </row>
    <row r="21" spans="1:4">
      <c r="A21" s="3" t="s">
        <v>62</v>
      </c>
      <c r="B21" s="5"/>
      <c r="C21" s="5" t="e">
        <f>RANK(B21,$B$3:$B$26,1)</f>
        <v>#N/A</v>
      </c>
      <c r="D21" s="5"/>
    </row>
    <row r="22" spans="1:4">
      <c r="A22" s="3" t="s">
        <v>63</v>
      </c>
      <c r="B22" s="5"/>
      <c r="C22" s="5" t="e">
        <f>RANK(B22,$B$3:$B$26,1)</f>
        <v>#N/A</v>
      </c>
      <c r="D22" s="5"/>
    </row>
    <row r="23" spans="1:4">
      <c r="A23" s="3" t="s">
        <v>64</v>
      </c>
      <c r="B23" s="5"/>
      <c r="C23" s="5" t="e">
        <f>RANK(B23,$B$3:$B$26,1)</f>
        <v>#N/A</v>
      </c>
      <c r="D23" s="5"/>
    </row>
    <row r="24" spans="1:4">
      <c r="A24" s="3" t="s">
        <v>65</v>
      </c>
      <c r="B24" s="5"/>
      <c r="C24" s="5" t="e">
        <f>RANK(B24,$B$3:$B$26,1)</f>
        <v>#N/A</v>
      </c>
      <c r="D24" s="5"/>
    </row>
    <row r="25" spans="1:4">
      <c r="A25" s="3" t="s">
        <v>66</v>
      </c>
      <c r="B25" s="5"/>
      <c r="C25" s="5" t="e">
        <f>RANK(B25,$B$3:$B$26,1)</f>
        <v>#N/A</v>
      </c>
      <c r="D25" s="5"/>
    </row>
    <row r="26" spans="1:4">
      <c r="A26" s="3" t="s">
        <v>67</v>
      </c>
      <c r="B26" s="5"/>
      <c r="C26" s="5" t="e">
        <f>RANK(B26,$B$3:$B$26,1)</f>
        <v>#N/A</v>
      </c>
      <c r="D26" s="5"/>
    </row>
  </sheetData>
  <sortState ref="A2:D25">
    <sortCondition ref="C2"/>
  </sortState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C5" sqref="C5"/>
    </sheetView>
  </sheetViews>
  <sheetFormatPr defaultColWidth="9" defaultRowHeight="14" outlineLevelCol="3"/>
  <sheetData>
    <row r="1" ht="17.5" spans="1:4">
      <c r="A1" s="10" t="s">
        <v>68</v>
      </c>
      <c r="B1" s="11"/>
      <c r="C1" s="11"/>
      <c r="D1" s="11"/>
    </row>
    <row r="2" spans="1:4">
      <c r="A2" s="12" t="s">
        <v>2</v>
      </c>
      <c r="B2" s="12" t="s">
        <v>3</v>
      </c>
      <c r="C2" s="12" t="s">
        <v>4</v>
      </c>
      <c r="D2" s="12" t="s">
        <v>5</v>
      </c>
    </row>
    <row r="3" spans="1:4">
      <c r="A3" s="3" t="s">
        <v>69</v>
      </c>
      <c r="B3" s="5">
        <v>13.57</v>
      </c>
      <c r="C3" s="5">
        <f>RANK(B3,$B$3:$B$36,1)</f>
        <v>1</v>
      </c>
      <c r="D3" s="5"/>
    </row>
    <row r="4" spans="1:4">
      <c r="A4" s="3" t="s">
        <v>70</v>
      </c>
      <c r="B4" s="5">
        <v>14.29</v>
      </c>
      <c r="C4" s="5">
        <f t="shared" ref="C4:C36" si="0">RANK(B4,$B$3:$B$36,1)</f>
        <v>2</v>
      </c>
      <c r="D4" s="5"/>
    </row>
    <row r="5" spans="1:4">
      <c r="A5" s="3" t="s">
        <v>11</v>
      </c>
      <c r="B5" s="5">
        <v>14.93</v>
      </c>
      <c r="C5" s="5">
        <f t="shared" si="0"/>
        <v>3</v>
      </c>
      <c r="D5" s="5"/>
    </row>
    <row r="6" spans="1:4">
      <c r="A6" s="3" t="s">
        <v>71</v>
      </c>
      <c r="B6" s="5">
        <v>15.16</v>
      </c>
      <c r="C6" s="5">
        <f t="shared" si="0"/>
        <v>4</v>
      </c>
      <c r="D6" s="5"/>
    </row>
    <row r="7" spans="1:4">
      <c r="A7" s="3" t="s">
        <v>72</v>
      </c>
      <c r="B7" s="5">
        <v>15.39</v>
      </c>
      <c r="C7" s="5">
        <f>RANK(B7,$B$3:$B$36,1)</f>
        <v>5</v>
      </c>
      <c r="D7" s="5"/>
    </row>
    <row r="8" spans="1:4">
      <c r="A8" s="3" t="s">
        <v>73</v>
      </c>
      <c r="B8" s="5">
        <v>15.77</v>
      </c>
      <c r="C8" s="5">
        <f t="shared" si="0"/>
        <v>6</v>
      </c>
      <c r="D8" s="5"/>
    </row>
    <row r="9" spans="1:4">
      <c r="A9" s="3" t="s">
        <v>74</v>
      </c>
      <c r="B9" s="5">
        <v>15.9</v>
      </c>
      <c r="C9" s="5">
        <f t="shared" si="0"/>
        <v>7</v>
      </c>
      <c r="D9" s="5"/>
    </row>
    <row r="10" spans="1:4">
      <c r="A10" s="3" t="s">
        <v>75</v>
      </c>
      <c r="B10" s="5">
        <v>16.29</v>
      </c>
      <c r="C10" s="5">
        <f t="shared" si="0"/>
        <v>8</v>
      </c>
      <c r="D10" s="5"/>
    </row>
    <row r="11" spans="1:4">
      <c r="A11" s="3" t="s">
        <v>76</v>
      </c>
      <c r="B11" s="5">
        <v>16.4</v>
      </c>
      <c r="C11" s="5">
        <f t="shared" si="0"/>
        <v>9</v>
      </c>
      <c r="D11" s="5"/>
    </row>
    <row r="12" spans="1:4">
      <c r="A12" s="3" t="s">
        <v>77</v>
      </c>
      <c r="B12" s="5">
        <v>16.9</v>
      </c>
      <c r="C12" s="5">
        <f t="shared" si="0"/>
        <v>10</v>
      </c>
      <c r="D12" s="5"/>
    </row>
    <row r="13" spans="1:4">
      <c r="A13" s="3" t="s">
        <v>78</v>
      </c>
      <c r="B13" s="5">
        <v>17.16</v>
      </c>
      <c r="C13" s="5">
        <f t="shared" si="0"/>
        <v>11</v>
      </c>
      <c r="D13" s="5"/>
    </row>
    <row r="14" spans="1:4">
      <c r="A14" s="3" t="s">
        <v>79</v>
      </c>
      <c r="B14" s="5">
        <v>17.37</v>
      </c>
      <c r="C14" s="5">
        <f t="shared" si="0"/>
        <v>12</v>
      </c>
      <c r="D14" s="5"/>
    </row>
    <row r="15" spans="1:4">
      <c r="A15" s="3" t="s">
        <v>80</v>
      </c>
      <c r="B15" s="5">
        <v>17.4</v>
      </c>
      <c r="C15" s="5">
        <f t="shared" si="0"/>
        <v>13</v>
      </c>
      <c r="D15" s="5"/>
    </row>
    <row r="16" spans="1:4">
      <c r="A16" s="3" t="s">
        <v>81</v>
      </c>
      <c r="B16" s="5">
        <v>17.46</v>
      </c>
      <c r="C16" s="5">
        <f>RANK(B16,$B$3:$B$36,1)</f>
        <v>14</v>
      </c>
      <c r="D16" s="5"/>
    </row>
    <row r="17" spans="1:4">
      <c r="A17" s="3" t="s">
        <v>82</v>
      </c>
      <c r="B17" s="5">
        <v>17.7</v>
      </c>
      <c r="C17" s="5">
        <f t="shared" si="0"/>
        <v>15</v>
      </c>
      <c r="D17" s="5"/>
    </row>
    <row r="18" spans="1:4">
      <c r="A18" s="3" t="s">
        <v>83</v>
      </c>
      <c r="B18" s="5">
        <v>18.1</v>
      </c>
      <c r="C18" s="5">
        <f t="shared" si="0"/>
        <v>16</v>
      </c>
      <c r="D18" s="5"/>
    </row>
    <row r="19" spans="1:4">
      <c r="A19" s="3" t="s">
        <v>22</v>
      </c>
      <c r="B19" s="5">
        <v>18.6</v>
      </c>
      <c r="C19" s="5">
        <f t="shared" si="0"/>
        <v>17</v>
      </c>
      <c r="D19" s="5"/>
    </row>
    <row r="20" spans="1:4">
      <c r="A20" s="3" t="s">
        <v>15</v>
      </c>
      <c r="B20" s="5">
        <v>18.9</v>
      </c>
      <c r="C20" s="5">
        <f t="shared" si="0"/>
        <v>18</v>
      </c>
      <c r="D20" s="5"/>
    </row>
    <row r="21" spans="1:4">
      <c r="A21" s="3" t="s">
        <v>21</v>
      </c>
      <c r="B21" s="5">
        <v>19.03</v>
      </c>
      <c r="C21" s="5">
        <f t="shared" si="0"/>
        <v>19</v>
      </c>
      <c r="D21" s="5"/>
    </row>
    <row r="22" spans="1:4">
      <c r="A22" s="3" t="s">
        <v>84</v>
      </c>
      <c r="B22" s="5">
        <v>20.67</v>
      </c>
      <c r="C22" s="5">
        <f t="shared" si="0"/>
        <v>20</v>
      </c>
      <c r="D22" s="5"/>
    </row>
    <row r="23" spans="1:4">
      <c r="A23" s="3" t="s">
        <v>29</v>
      </c>
      <c r="B23" s="5">
        <v>21.25</v>
      </c>
      <c r="C23" s="5">
        <f t="shared" si="0"/>
        <v>21</v>
      </c>
      <c r="D23" s="5"/>
    </row>
    <row r="24" spans="1:4">
      <c r="A24" s="3" t="s">
        <v>85</v>
      </c>
      <c r="B24" s="5">
        <v>21.35</v>
      </c>
      <c r="C24" s="5">
        <f t="shared" si="0"/>
        <v>22</v>
      </c>
      <c r="D24" s="5"/>
    </row>
    <row r="25" spans="1:4">
      <c r="A25" s="3" t="s">
        <v>86</v>
      </c>
      <c r="B25" s="5">
        <v>24.33</v>
      </c>
      <c r="C25" s="5">
        <f t="shared" si="0"/>
        <v>23</v>
      </c>
      <c r="D25" s="5"/>
    </row>
    <row r="26" spans="1:4">
      <c r="A26" s="3" t="s">
        <v>87</v>
      </c>
      <c r="B26" s="5">
        <v>25.97</v>
      </c>
      <c r="C26" s="5">
        <f t="shared" si="0"/>
        <v>24</v>
      </c>
      <c r="D26" s="5"/>
    </row>
    <row r="27" spans="1:4">
      <c r="A27" s="3" t="s">
        <v>88</v>
      </c>
      <c r="B27" s="5">
        <v>34.85</v>
      </c>
      <c r="C27" s="5">
        <f t="shared" si="0"/>
        <v>25</v>
      </c>
      <c r="D27" s="5"/>
    </row>
    <row r="28" spans="1:4">
      <c r="A28" s="3" t="s">
        <v>89</v>
      </c>
      <c r="B28" s="5"/>
      <c r="C28" s="5" t="e">
        <f t="shared" si="0"/>
        <v>#N/A</v>
      </c>
      <c r="D28" s="5"/>
    </row>
    <row r="29" spans="1:4">
      <c r="A29" s="3" t="s">
        <v>90</v>
      </c>
      <c r="B29" s="5"/>
      <c r="C29" s="5" t="e">
        <f t="shared" si="0"/>
        <v>#N/A</v>
      </c>
      <c r="D29" s="5"/>
    </row>
    <row r="30" spans="1:4">
      <c r="A30" s="3" t="s">
        <v>91</v>
      </c>
      <c r="B30" s="5"/>
      <c r="C30" s="5" t="e">
        <f t="shared" si="0"/>
        <v>#N/A</v>
      </c>
      <c r="D30" s="5"/>
    </row>
    <row r="31" spans="1:4">
      <c r="A31" s="3" t="s">
        <v>92</v>
      </c>
      <c r="B31" s="5"/>
      <c r="C31" s="5" t="e">
        <f t="shared" si="0"/>
        <v>#N/A</v>
      </c>
      <c r="D31" s="5"/>
    </row>
    <row r="32" spans="1:4">
      <c r="A32" s="3" t="s">
        <v>93</v>
      </c>
      <c r="B32" s="5"/>
      <c r="C32" s="5" t="e">
        <f t="shared" si="0"/>
        <v>#N/A</v>
      </c>
      <c r="D32" s="5"/>
    </row>
    <row r="33" spans="1:4">
      <c r="A33" s="3" t="s">
        <v>94</v>
      </c>
      <c r="B33" s="5"/>
      <c r="C33" s="5" t="e">
        <f t="shared" si="0"/>
        <v>#N/A</v>
      </c>
      <c r="D33" s="5"/>
    </row>
    <row r="34" spans="1:4">
      <c r="A34" s="3" t="s">
        <v>95</v>
      </c>
      <c r="B34" s="5"/>
      <c r="C34" s="5" t="e">
        <f t="shared" si="0"/>
        <v>#N/A</v>
      </c>
      <c r="D34" s="5"/>
    </row>
    <row r="35" spans="1:4">
      <c r="A35" s="3" t="s">
        <v>96</v>
      </c>
      <c r="B35" s="5"/>
      <c r="C35" s="5" t="e">
        <f t="shared" si="0"/>
        <v>#N/A</v>
      </c>
      <c r="D35" s="5"/>
    </row>
    <row r="36" spans="1:4">
      <c r="A36" s="3" t="s">
        <v>97</v>
      </c>
      <c r="B36" s="5"/>
      <c r="C36" s="5" t="e">
        <f t="shared" si="0"/>
        <v>#N/A</v>
      </c>
      <c r="D36" s="5"/>
    </row>
  </sheetData>
  <sortState ref="A3:D36">
    <sortCondition ref="C3"/>
  </sortState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zoomScale="115" zoomScaleNormal="115" workbookViewId="0">
      <selection activeCell="C3" sqref="C3"/>
    </sheetView>
  </sheetViews>
  <sheetFormatPr defaultColWidth="9" defaultRowHeight="14" outlineLevelCol="4"/>
  <sheetData>
    <row r="1" ht="17.5" spans="1:5">
      <c r="A1" s="1" t="s">
        <v>98</v>
      </c>
      <c r="B1" s="1"/>
      <c r="C1" s="1"/>
      <c r="D1" s="1"/>
      <c r="E1" s="1"/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5</v>
      </c>
    </row>
    <row r="3" spans="1:5">
      <c r="A3" s="3" t="s">
        <v>99</v>
      </c>
      <c r="B3" s="5">
        <v>18.34</v>
      </c>
      <c r="C3" s="5">
        <f t="shared" ref="C3:C11" si="0">RANK(B4,$B$4:$B$17,1)</f>
        <v>1</v>
      </c>
      <c r="D3" s="5"/>
      <c r="E3" s="2"/>
    </row>
    <row r="4" spans="1:5">
      <c r="A4" s="3" t="s">
        <v>100</v>
      </c>
      <c r="B4" s="5">
        <v>18.46</v>
      </c>
      <c r="C4" s="5">
        <f t="shared" si="0"/>
        <v>2</v>
      </c>
      <c r="D4" s="5"/>
      <c r="E4" s="5"/>
    </row>
    <row r="5" spans="1:5">
      <c r="A5" s="3" t="s">
        <v>101</v>
      </c>
      <c r="B5" s="5">
        <v>19.9</v>
      </c>
      <c r="C5" s="5">
        <f t="shared" si="0"/>
        <v>3</v>
      </c>
      <c r="D5" s="5"/>
      <c r="E5" s="5"/>
    </row>
    <row r="6" spans="1:5">
      <c r="A6" s="3" t="s">
        <v>102</v>
      </c>
      <c r="B6" s="5">
        <v>20.68</v>
      </c>
      <c r="C6" s="5">
        <f t="shared" si="0"/>
        <v>4</v>
      </c>
      <c r="D6" s="5"/>
      <c r="E6" s="5"/>
    </row>
    <row r="7" spans="1:5">
      <c r="A7" s="3" t="s">
        <v>103</v>
      </c>
      <c r="B7" s="5">
        <v>20.88</v>
      </c>
      <c r="C7" s="5">
        <f t="shared" si="0"/>
        <v>5</v>
      </c>
      <c r="D7" s="5"/>
      <c r="E7" s="5"/>
    </row>
    <row r="8" spans="1:5">
      <c r="A8" s="3" t="s">
        <v>104</v>
      </c>
      <c r="B8" s="5">
        <v>21.26</v>
      </c>
      <c r="C8" s="5">
        <f t="shared" si="0"/>
        <v>6</v>
      </c>
      <c r="D8" s="5"/>
      <c r="E8" s="5"/>
    </row>
    <row r="9" spans="1:5">
      <c r="A9" s="3" t="s">
        <v>105</v>
      </c>
      <c r="B9" s="5">
        <v>21.27</v>
      </c>
      <c r="C9" s="5">
        <f t="shared" si="0"/>
        <v>7</v>
      </c>
      <c r="D9" s="5"/>
      <c r="E9" s="5"/>
    </row>
    <row r="10" spans="1:5">
      <c r="A10" s="3" t="s">
        <v>106</v>
      </c>
      <c r="B10" s="5">
        <v>24.08</v>
      </c>
      <c r="C10" s="5">
        <f t="shared" si="0"/>
        <v>8</v>
      </c>
      <c r="D10" s="5"/>
      <c r="E10" s="5"/>
    </row>
    <row r="11" spans="1:5">
      <c r="A11" s="3" t="s">
        <v>107</v>
      </c>
      <c r="B11" s="5">
        <v>25.36</v>
      </c>
      <c r="C11" s="5">
        <f t="shared" si="0"/>
        <v>9</v>
      </c>
      <c r="D11" s="5"/>
      <c r="E11" s="5"/>
    </row>
    <row r="12" spans="1:5">
      <c r="A12" s="3" t="s">
        <v>50</v>
      </c>
      <c r="B12" s="8">
        <v>30.34</v>
      </c>
      <c r="C12" s="5">
        <v>10</v>
      </c>
      <c r="D12" s="5"/>
      <c r="E12" s="5"/>
    </row>
    <row r="13" spans="1:5">
      <c r="A13" s="9" t="s">
        <v>108</v>
      </c>
      <c r="B13" s="2" t="s">
        <v>109</v>
      </c>
      <c r="C13" s="5" t="e">
        <f t="shared" ref="C13:C17" si="1">RANK(B13,$B$4:$B$17,1)</f>
        <v>#VALUE!</v>
      </c>
      <c r="D13" s="2"/>
      <c r="E13" s="5"/>
    </row>
    <row r="14" spans="1:5">
      <c r="A14" s="3" t="s">
        <v>110</v>
      </c>
      <c r="B14" s="5"/>
      <c r="C14" s="5" t="e">
        <f t="shared" si="1"/>
        <v>#N/A</v>
      </c>
      <c r="D14" s="5"/>
      <c r="E14" s="5"/>
    </row>
    <row r="15" spans="1:5">
      <c r="A15" s="3" t="s">
        <v>111</v>
      </c>
      <c r="B15" s="5"/>
      <c r="C15" s="5" t="e">
        <f t="shared" si="1"/>
        <v>#N/A</v>
      </c>
      <c r="D15" s="5"/>
      <c r="E15" s="5"/>
    </row>
    <row r="16" spans="1:5">
      <c r="A16" s="3" t="s">
        <v>112</v>
      </c>
      <c r="B16" s="5"/>
      <c r="C16" s="5" t="e">
        <f t="shared" si="1"/>
        <v>#N/A</v>
      </c>
      <c r="D16" s="5"/>
      <c r="E16" s="5"/>
    </row>
    <row r="17" spans="1:5">
      <c r="A17" s="3" t="s">
        <v>113</v>
      </c>
      <c r="B17" s="5"/>
      <c r="C17" s="5" t="e">
        <f t="shared" si="1"/>
        <v>#N/A</v>
      </c>
      <c r="D17" s="5"/>
      <c r="E17" s="5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205" zoomScaleNormal="205" workbookViewId="0">
      <selection activeCell="G12" sqref="G12"/>
    </sheetView>
  </sheetViews>
  <sheetFormatPr defaultColWidth="8.72727272727273" defaultRowHeight="14" outlineLevelCol="3"/>
  <sheetData>
    <row r="1" ht="17.5" spans="1:4">
      <c r="A1" s="1" t="s">
        <v>114</v>
      </c>
      <c r="B1" s="1"/>
      <c r="C1" s="1"/>
      <c r="D1" s="1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115</v>
      </c>
      <c r="B3" s="5">
        <v>28.16</v>
      </c>
      <c r="C3" s="5">
        <f>RANK(B3,$B$3:$B$17,1)</f>
        <v>1</v>
      </c>
      <c r="D3" s="5"/>
    </row>
    <row r="4" spans="1:4">
      <c r="A4" s="3" t="s">
        <v>69</v>
      </c>
      <c r="B4" s="5">
        <v>28.39</v>
      </c>
      <c r="C4" s="5">
        <f>RANK(B4,$B$3:$B$17,1)</f>
        <v>2</v>
      </c>
      <c r="D4" s="5"/>
    </row>
    <row r="5" spans="1:4">
      <c r="A5" s="3" t="s">
        <v>116</v>
      </c>
      <c r="B5" s="5">
        <v>30.81</v>
      </c>
      <c r="C5" s="5">
        <f>RANK(B5,$B$3:$B$17,1)</f>
        <v>3</v>
      </c>
      <c r="D5" s="5"/>
    </row>
    <row r="6" spans="1:4">
      <c r="A6" s="3" t="s">
        <v>117</v>
      </c>
      <c r="B6" s="5">
        <v>31.5</v>
      </c>
      <c r="C6" s="5">
        <f>RANK(B6,$B$3:$B$17,1)</f>
        <v>4</v>
      </c>
      <c r="D6" s="5"/>
    </row>
    <row r="7" spans="1:4">
      <c r="A7" s="3" t="s">
        <v>70</v>
      </c>
      <c r="B7" s="5">
        <v>31.55</v>
      </c>
      <c r="C7" s="5">
        <f>RANK(B7,$B$3:$B$17,1)</f>
        <v>5</v>
      </c>
      <c r="D7" s="5"/>
    </row>
    <row r="8" spans="1:4">
      <c r="A8" s="3" t="s">
        <v>73</v>
      </c>
      <c r="B8" s="5">
        <v>36.49</v>
      </c>
      <c r="C8" s="5">
        <f>RANK(B8,$B$3:$B$17,1)</f>
        <v>6</v>
      </c>
      <c r="D8" s="5"/>
    </row>
    <row r="9" spans="1:4">
      <c r="A9" s="3" t="s">
        <v>75</v>
      </c>
      <c r="B9" s="5">
        <v>38.16</v>
      </c>
      <c r="C9" s="5">
        <f>RANK(B9,$B$3:$B$17,1)</f>
        <v>7</v>
      </c>
      <c r="D9" s="5"/>
    </row>
    <row r="10" spans="1:4">
      <c r="A10" s="3" t="s">
        <v>118</v>
      </c>
      <c r="B10" s="5">
        <v>39.58</v>
      </c>
      <c r="C10" s="5">
        <f>RANK(B10,$B$3:$B$17,1)</f>
        <v>8</v>
      </c>
      <c r="D10" s="5"/>
    </row>
    <row r="11" spans="1:4">
      <c r="A11" s="3" t="s">
        <v>96</v>
      </c>
      <c r="B11" s="5">
        <v>40.9</v>
      </c>
      <c r="C11" s="5">
        <f>RANK(B11,$B$3:$B$17,1)</f>
        <v>9</v>
      </c>
      <c r="D11" s="5"/>
    </row>
    <row r="12" spans="1:4">
      <c r="A12" s="3" t="s">
        <v>119</v>
      </c>
      <c r="B12" s="5">
        <v>50.65</v>
      </c>
      <c r="C12" s="5">
        <f>RANK(B12,$B$3:$B$17,1)</f>
        <v>10</v>
      </c>
      <c r="D12" s="5"/>
    </row>
    <row r="13" spans="1:4">
      <c r="A13" s="3" t="s">
        <v>120</v>
      </c>
      <c r="B13" s="5">
        <v>53.57</v>
      </c>
      <c r="C13" s="5">
        <f>RANK(B13,$B$3:$B$17,1)</f>
        <v>11</v>
      </c>
      <c r="D13" s="5"/>
    </row>
    <row r="14" spans="1:4">
      <c r="A14" s="3" t="s">
        <v>121</v>
      </c>
      <c r="B14" s="5">
        <v>53.99</v>
      </c>
      <c r="C14" s="5">
        <f>RANK(B14,$B$3:$B$17,1)</f>
        <v>12</v>
      </c>
      <c r="D14" s="5"/>
    </row>
    <row r="15" spans="1:4">
      <c r="A15" s="3" t="s">
        <v>95</v>
      </c>
      <c r="B15" s="5"/>
      <c r="C15" s="5" t="e">
        <f>RANK(B15,$B$3:$B$17,1)</f>
        <v>#N/A</v>
      </c>
      <c r="D15" s="5"/>
    </row>
    <row r="16" spans="1:4">
      <c r="A16" s="3" t="s">
        <v>97</v>
      </c>
      <c r="B16" s="5"/>
      <c r="C16" s="5" t="e">
        <f>RANK(B16,$B$3:$B$17,1)</f>
        <v>#N/A</v>
      </c>
      <c r="D16" s="5"/>
    </row>
    <row r="17" spans="1:4">
      <c r="A17" s="3" t="s">
        <v>89</v>
      </c>
      <c r="B17" s="5"/>
      <c r="C17" s="5" t="e">
        <f>RANK(B17,$B$3:$B$17,1)</f>
        <v>#N/A</v>
      </c>
      <c r="D17" s="5"/>
    </row>
  </sheetData>
  <sortState ref="A3:D17">
    <sortCondition ref="C3"/>
  </sortState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zoomScale="205" zoomScaleNormal="205" workbookViewId="0">
      <selection activeCell="A1" sqref="A1:D1"/>
    </sheetView>
  </sheetViews>
  <sheetFormatPr defaultColWidth="8.72727272727273" defaultRowHeight="14" outlineLevelCol="3"/>
  <cols>
    <col min="4" max="4" width="8.72727272727273" customWidth="1"/>
  </cols>
  <sheetData>
    <row r="1" ht="17.5" spans="1:4">
      <c r="A1" s="1" t="s">
        <v>122</v>
      </c>
      <c r="B1" s="1"/>
      <c r="C1" s="1"/>
      <c r="D1" s="1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123</v>
      </c>
      <c r="B3" s="5">
        <v>34.62</v>
      </c>
      <c r="C3" s="5">
        <f>RANK(B3,$B$3:$B$13,1)</f>
        <v>1</v>
      </c>
      <c r="D3" s="5"/>
    </row>
    <row r="4" spans="1:4">
      <c r="A4" s="3" t="s">
        <v>124</v>
      </c>
      <c r="B4" s="5">
        <v>37.13</v>
      </c>
      <c r="C4" s="5">
        <f>RANK(B4,$B$3:$B$13,1)</f>
        <v>2</v>
      </c>
      <c r="D4" s="5"/>
    </row>
    <row r="5" spans="1:4">
      <c r="A5" s="3" t="s">
        <v>125</v>
      </c>
      <c r="B5" s="5">
        <v>43.99</v>
      </c>
      <c r="C5" s="5">
        <f>RANK(B5,$B$3:$B$13,1)</f>
        <v>3</v>
      </c>
      <c r="D5" s="5"/>
    </row>
    <row r="6" spans="1:4">
      <c r="A6" s="3" t="s">
        <v>103</v>
      </c>
      <c r="B6" s="5">
        <v>46.09</v>
      </c>
      <c r="C6" s="5">
        <f>RANK(B6,$B$3:$B$13,1)</f>
        <v>4</v>
      </c>
      <c r="D6" s="5"/>
    </row>
    <row r="7" spans="1:4">
      <c r="A7" s="3" t="s">
        <v>102</v>
      </c>
      <c r="B7" s="5">
        <v>49.93</v>
      </c>
      <c r="C7" s="5">
        <f>RANK(B7,$B$3:$B$13,1)</f>
        <v>5</v>
      </c>
      <c r="D7" s="5"/>
    </row>
    <row r="8" spans="1:4">
      <c r="A8" s="3" t="s">
        <v>106</v>
      </c>
      <c r="B8" s="5">
        <v>58.11</v>
      </c>
      <c r="C8" s="5">
        <f>RANK(B8,$B$3:$B$13,1)</f>
        <v>6</v>
      </c>
      <c r="D8" s="5"/>
    </row>
    <row r="9" spans="1:4">
      <c r="A9" s="3" t="s">
        <v>107</v>
      </c>
      <c r="B9" s="5">
        <v>63.11</v>
      </c>
      <c r="C9" s="5">
        <f>RANK(B9,$B$3:$B$13,1)</f>
        <v>7</v>
      </c>
      <c r="D9" s="5"/>
    </row>
    <row r="10" spans="1:4">
      <c r="A10" s="3" t="s">
        <v>126</v>
      </c>
      <c r="B10" s="5"/>
      <c r="C10" s="5" t="e">
        <f>RANK(B10,$B$3:$B$13,1)</f>
        <v>#N/A</v>
      </c>
      <c r="D10" s="5"/>
    </row>
    <row r="11" spans="1:4">
      <c r="A11" s="3" t="s">
        <v>113</v>
      </c>
      <c r="B11" s="5"/>
      <c r="C11" s="5" t="e">
        <f>RANK(B11,$B$3:$B$13,1)</f>
        <v>#N/A</v>
      </c>
      <c r="D11" s="5"/>
    </row>
    <row r="12" spans="1:4">
      <c r="A12" s="3" t="s">
        <v>112</v>
      </c>
      <c r="B12" s="5"/>
      <c r="C12" s="5" t="e">
        <f>RANK(B12,$B$3:$B$13,1)</f>
        <v>#N/A</v>
      </c>
      <c r="D12" s="5"/>
    </row>
    <row r="13" spans="1:4">
      <c r="A13" s="3" t="s">
        <v>111</v>
      </c>
      <c r="B13" s="5"/>
      <c r="C13" s="5" t="e">
        <f>RANK(B13,$B$3:$B$13,1)</f>
        <v>#N/A</v>
      </c>
      <c r="D13" s="5"/>
    </row>
  </sheetData>
  <sortState ref="A3:D13">
    <sortCondition ref="C3"/>
  </sortState>
  <mergeCells count="1">
    <mergeCell ref="A1:D1"/>
  </mergeCells>
  <pageMargins left="0.75" right="0.75" top="1" bottom="1" header="0.5" footer="0.5"/>
  <pageSetup paperSize="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zoomScale="115" zoomScaleNormal="115" workbookViewId="0">
      <selection activeCell="J18" sqref="J18"/>
    </sheetView>
  </sheetViews>
  <sheetFormatPr defaultColWidth="8.72727272727273" defaultRowHeight="14" outlineLevelCol="3"/>
  <cols>
    <col min="2" max="2" width="11.8545454545455" customWidth="1"/>
  </cols>
  <sheetData>
    <row r="1" ht="17.5" spans="1:4">
      <c r="A1" s="1" t="s">
        <v>127</v>
      </c>
      <c r="B1" s="1"/>
      <c r="C1" s="1"/>
      <c r="D1" s="1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128</v>
      </c>
      <c r="B3" s="4">
        <v>0.000406712962962963</v>
      </c>
      <c r="C3" s="5">
        <f>RANK(B3,$B$3:$B$30,1)</f>
        <v>1</v>
      </c>
      <c r="D3" s="5"/>
    </row>
    <row r="4" spans="1:4">
      <c r="A4" s="3" t="s">
        <v>6</v>
      </c>
      <c r="B4" s="4">
        <v>0.00048275462962963</v>
      </c>
      <c r="C4" s="5">
        <f>RANK(B4,$B$3:$B$30,1)</f>
        <v>2</v>
      </c>
      <c r="D4" s="5"/>
    </row>
    <row r="5" spans="1:4">
      <c r="A5" s="3" t="s">
        <v>129</v>
      </c>
      <c r="B5" s="4">
        <v>0.000486458333333333</v>
      </c>
      <c r="C5" s="5">
        <f>RANK(B5,$B$3:$B$30,1)</f>
        <v>3</v>
      </c>
      <c r="D5" s="5"/>
    </row>
    <row r="6" spans="1:4">
      <c r="A6" s="3" t="s">
        <v>18</v>
      </c>
      <c r="B6" s="4">
        <v>0.000530555555555556</v>
      </c>
      <c r="C6" s="5">
        <f>RANK(B6,$B$3:$B$30,1)</f>
        <v>4</v>
      </c>
      <c r="D6" s="5"/>
    </row>
    <row r="7" spans="1:4">
      <c r="A7" s="3" t="s">
        <v>19</v>
      </c>
      <c r="B7" s="4">
        <v>0.000530555555555556</v>
      </c>
      <c r="C7" s="5">
        <f>RANK(B7,$B$3:$B$30,1)</f>
        <v>4</v>
      </c>
      <c r="D7" s="5"/>
    </row>
    <row r="8" spans="1:4">
      <c r="A8" s="3" t="s">
        <v>71</v>
      </c>
      <c r="B8" s="4">
        <v>0.000530555555555556</v>
      </c>
      <c r="C8" s="5">
        <f>RANK(B8,$B$3:$B$30,1)</f>
        <v>4</v>
      </c>
      <c r="D8" s="5"/>
    </row>
    <row r="9" spans="1:4">
      <c r="A9" s="3" t="s">
        <v>10</v>
      </c>
      <c r="B9" s="4">
        <v>0.000531828703703704</v>
      </c>
      <c r="C9" s="5">
        <f>RANK(B9,$B$3:$B$30,1)</f>
        <v>7</v>
      </c>
      <c r="D9" s="5"/>
    </row>
    <row r="10" spans="1:4">
      <c r="A10" s="3" t="s">
        <v>13</v>
      </c>
      <c r="B10" s="4">
        <v>0.000534837962962963</v>
      </c>
      <c r="C10" s="5">
        <f>RANK(B10,$B$3:$B$30,1)</f>
        <v>8</v>
      </c>
      <c r="D10" s="5"/>
    </row>
    <row r="11" spans="1:4">
      <c r="A11" s="3" t="s">
        <v>118</v>
      </c>
      <c r="B11" s="4">
        <v>0.00056724537037037</v>
      </c>
      <c r="C11" s="5">
        <f>RANK(B11,$B$3:$B$30,1)</f>
        <v>9</v>
      </c>
      <c r="D11" s="5"/>
    </row>
    <row r="12" spans="1:4">
      <c r="A12" s="3" t="s">
        <v>12</v>
      </c>
      <c r="B12" s="4">
        <v>0.000567361111111111</v>
      </c>
      <c r="C12" s="5">
        <f>RANK(B12,$B$3:$B$30,1)</f>
        <v>10</v>
      </c>
      <c r="D12" s="5"/>
    </row>
    <row r="13" spans="1:4">
      <c r="A13" s="3" t="s">
        <v>84</v>
      </c>
      <c r="B13" s="4">
        <v>0.000579050925925926</v>
      </c>
      <c r="C13" s="5">
        <f>RANK(B13,$B$3:$B$30,1)</f>
        <v>11</v>
      </c>
      <c r="D13" s="5"/>
    </row>
    <row r="14" spans="1:4">
      <c r="A14" s="3" t="s">
        <v>83</v>
      </c>
      <c r="B14" s="4">
        <v>0.000580787037037037</v>
      </c>
      <c r="C14" s="5">
        <f>RANK(B14,$B$3:$B$30,1)</f>
        <v>12</v>
      </c>
      <c r="D14" s="5"/>
    </row>
    <row r="15" spans="1:4">
      <c r="A15" s="3" t="s">
        <v>20</v>
      </c>
      <c r="B15" s="4">
        <v>0.000589699074074074</v>
      </c>
      <c r="C15" s="5">
        <f>RANK(B15,$B$3:$B$30,1)</f>
        <v>13</v>
      </c>
      <c r="D15" s="5"/>
    </row>
    <row r="16" spans="1:4">
      <c r="A16" s="3" t="s">
        <v>25</v>
      </c>
      <c r="B16" s="4">
        <v>0.000630902777777778</v>
      </c>
      <c r="C16" s="5">
        <f>RANK(B16,$B$3:$B$30,1)</f>
        <v>14</v>
      </c>
      <c r="D16" s="5"/>
    </row>
    <row r="17" spans="1:4">
      <c r="A17" s="3" t="s">
        <v>120</v>
      </c>
      <c r="B17" s="4">
        <v>0.000645138888888889</v>
      </c>
      <c r="C17" s="5">
        <f>RANK(B17,$B$3:$B$30,1)</f>
        <v>15</v>
      </c>
      <c r="D17" s="5"/>
    </row>
    <row r="18" spans="1:4">
      <c r="A18" s="3" t="s">
        <v>27</v>
      </c>
      <c r="B18" s="4">
        <v>0.00064837962962963</v>
      </c>
      <c r="C18" s="5">
        <f>RANK(B18,$B$3:$B$30,1)</f>
        <v>16</v>
      </c>
      <c r="D18" s="5"/>
    </row>
    <row r="19" spans="1:4">
      <c r="A19" s="3" t="s">
        <v>24</v>
      </c>
      <c r="B19" s="4">
        <v>0.00065150462962963</v>
      </c>
      <c r="C19" s="5">
        <f>RANK(B19,$B$3:$B$30,1)</f>
        <v>17</v>
      </c>
      <c r="D19" s="5"/>
    </row>
    <row r="20" spans="1:4">
      <c r="A20" s="3" t="s">
        <v>32</v>
      </c>
      <c r="B20" s="4">
        <v>0.000684143518518518</v>
      </c>
      <c r="C20" s="5">
        <f>RANK(B20,$B$3:$B$30,1)</f>
        <v>18</v>
      </c>
      <c r="D20" s="5"/>
    </row>
    <row r="21" spans="1:4">
      <c r="A21" s="3" t="s">
        <v>31</v>
      </c>
      <c r="B21" s="4">
        <v>0.000687615740740741</v>
      </c>
      <c r="C21" s="5">
        <f>RANK(B21,$B$3:$B$30,1)</f>
        <v>19</v>
      </c>
      <c r="D21" s="5"/>
    </row>
    <row r="22" spans="1:4">
      <c r="A22" s="3" t="s">
        <v>130</v>
      </c>
      <c r="B22" s="4">
        <v>0.000699305555555556</v>
      </c>
      <c r="C22" s="5">
        <f>RANK(B22,$B$3:$B$30,1)</f>
        <v>20</v>
      </c>
      <c r="D22" s="5"/>
    </row>
    <row r="23" spans="1:4">
      <c r="A23" s="3" t="s">
        <v>33</v>
      </c>
      <c r="B23" s="4">
        <v>0.000774074074074074</v>
      </c>
      <c r="C23" s="5">
        <f>RANK(B23,$B$3:$B$30,1)</f>
        <v>21</v>
      </c>
      <c r="D23" s="5"/>
    </row>
    <row r="24" spans="1:4">
      <c r="A24" s="3" t="s">
        <v>34</v>
      </c>
      <c r="B24" s="4">
        <v>0.000809143518518518</v>
      </c>
      <c r="C24" s="5">
        <f>RANK(B24,$B$3:$B$30,1)</f>
        <v>22</v>
      </c>
      <c r="D24" s="5"/>
    </row>
    <row r="25" spans="1:4">
      <c r="A25" s="3" t="s">
        <v>131</v>
      </c>
      <c r="B25" s="4">
        <v>0.00113773148148148</v>
      </c>
      <c r="C25" s="5">
        <f>RANK(B25,$B$3:$B$30,1)</f>
        <v>23</v>
      </c>
      <c r="D25" s="5"/>
    </row>
    <row r="26" spans="1:4">
      <c r="A26" s="3" t="s">
        <v>35</v>
      </c>
      <c r="B26" s="4"/>
      <c r="C26" s="5" t="e">
        <f>RANK(B26,$B$3:$B$30,1)</f>
        <v>#N/A</v>
      </c>
      <c r="D26" s="5"/>
    </row>
    <row r="27" spans="1:4">
      <c r="A27" s="3" t="s">
        <v>36</v>
      </c>
      <c r="B27" s="4"/>
      <c r="C27" s="5" t="e">
        <f>RANK(B27,$B$3:$B$30,1)</f>
        <v>#N/A</v>
      </c>
      <c r="D27" s="5"/>
    </row>
    <row r="28" spans="1:4">
      <c r="A28" s="3" t="s">
        <v>38</v>
      </c>
      <c r="B28" s="4"/>
      <c r="C28" s="5" t="e">
        <f>RANK(B28,$B$3:$B$30,1)</f>
        <v>#N/A</v>
      </c>
      <c r="D28" s="5"/>
    </row>
    <row r="29" spans="1:4">
      <c r="A29" s="3" t="s">
        <v>121</v>
      </c>
      <c r="B29" s="4"/>
      <c r="C29" s="5" t="e">
        <f>RANK(B29,$B$3:$B$30,1)</f>
        <v>#N/A</v>
      </c>
      <c r="D29" s="5"/>
    </row>
    <row r="30" spans="1:4">
      <c r="A30" s="7" t="s">
        <v>41</v>
      </c>
      <c r="B30" s="4"/>
      <c r="C30" s="5" t="e">
        <f>RANK(B30,$B$3:$B$30,1)</f>
        <v>#N/A</v>
      </c>
      <c r="D30" s="5"/>
    </row>
  </sheetData>
  <sortState ref="A3:D30">
    <sortCondition ref="C3"/>
  </sortState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75" zoomScaleNormal="175" workbookViewId="0">
      <selection activeCell="A2" sqref="A2"/>
    </sheetView>
  </sheetViews>
  <sheetFormatPr defaultColWidth="8.72727272727273" defaultRowHeight="14" outlineLevelCol="3"/>
  <cols>
    <col min="2" max="2" width="9.54545454545454"/>
  </cols>
  <sheetData>
    <row r="1" ht="17.5" spans="1:4">
      <c r="A1" s="1" t="s">
        <v>132</v>
      </c>
      <c r="B1" s="1"/>
      <c r="C1" s="1"/>
      <c r="D1" s="1"/>
    </row>
    <row r="2" spans="1:4">
      <c r="A2" s="2" t="s">
        <v>2</v>
      </c>
      <c r="B2" s="2" t="s">
        <v>3</v>
      </c>
      <c r="C2" s="2" t="s">
        <v>4</v>
      </c>
      <c r="D2" s="2" t="s">
        <v>5</v>
      </c>
    </row>
    <row r="3" spans="1:4">
      <c r="A3" s="3" t="s">
        <v>133</v>
      </c>
      <c r="B3" s="4">
        <v>0.000528472222222222</v>
      </c>
      <c r="C3" s="5">
        <f>RANK(B3,$B$3:$B$17,1)</f>
        <v>1</v>
      </c>
      <c r="D3" s="5"/>
    </row>
    <row r="4" spans="1:4">
      <c r="A4" s="3" t="s">
        <v>134</v>
      </c>
      <c r="B4" s="4">
        <v>0.000587268518518519</v>
      </c>
      <c r="C4" s="5">
        <f>RANK(B4,$B$3:$B$17,1)</f>
        <v>2</v>
      </c>
      <c r="D4" s="5"/>
    </row>
    <row r="5" spans="1:4">
      <c r="A5" s="3" t="s">
        <v>125</v>
      </c>
      <c r="B5" s="4">
        <v>0.000587962962962963</v>
      </c>
      <c r="C5" s="5">
        <f>RANK(B5,$B$3:$B$17,1)</f>
        <v>3</v>
      </c>
      <c r="D5" s="5"/>
    </row>
    <row r="6" ht="42" spans="1:4">
      <c r="A6" s="6" t="s">
        <v>45</v>
      </c>
      <c r="B6" s="4">
        <v>0.00059224537037037</v>
      </c>
      <c r="C6" s="5">
        <f>RANK(B6,$B$3:$B$17,1)</f>
        <v>4</v>
      </c>
      <c r="D6" s="5"/>
    </row>
    <row r="7" spans="1:4">
      <c r="A7" s="3" t="s">
        <v>46</v>
      </c>
      <c r="B7" s="4">
        <v>0.00065150462962963</v>
      </c>
      <c r="C7" s="5">
        <f>RANK(B7,$B$3:$B$17,1)</f>
        <v>5</v>
      </c>
      <c r="D7" s="5"/>
    </row>
    <row r="8" spans="1:4">
      <c r="A8" s="3" t="s">
        <v>104</v>
      </c>
      <c r="B8" s="4">
        <v>0.000686458333333333</v>
      </c>
      <c r="C8" s="5">
        <f>RANK(B8,$B$3:$B$17,1)</f>
        <v>6</v>
      </c>
      <c r="D8" s="5"/>
    </row>
    <row r="9" spans="1:4">
      <c r="A9" s="3" t="s">
        <v>135</v>
      </c>
      <c r="B9" s="4">
        <v>0.000732291666666667</v>
      </c>
      <c r="C9" s="5">
        <f>RANK(B9,$B$3:$B$17,1)</f>
        <v>7</v>
      </c>
      <c r="D9" s="5"/>
    </row>
    <row r="10" spans="1:4">
      <c r="A10" s="3" t="s">
        <v>105</v>
      </c>
      <c r="B10" s="4">
        <v>0.000747222222222222</v>
      </c>
      <c r="C10" s="5">
        <f>RANK(B10,$B$3:$B$17,1)</f>
        <v>8</v>
      </c>
      <c r="D10" s="5"/>
    </row>
    <row r="11" spans="1:4">
      <c r="A11" s="3" t="s">
        <v>52</v>
      </c>
      <c r="B11" s="4">
        <v>0.000883333333333333</v>
      </c>
      <c r="C11" s="5">
        <f>RANK(B11,$B$3:$B$17,1)</f>
        <v>9</v>
      </c>
      <c r="D11" s="5"/>
    </row>
    <row r="12" spans="1:4">
      <c r="A12" s="3" t="s">
        <v>51</v>
      </c>
      <c r="B12" s="4">
        <v>0.000898958333333333</v>
      </c>
      <c r="C12" s="5">
        <f>RANK(B12,$B$3:$B$17,1)</f>
        <v>10</v>
      </c>
      <c r="D12" s="5"/>
    </row>
    <row r="13" spans="1:4">
      <c r="A13" s="3" t="s">
        <v>57</v>
      </c>
      <c r="B13" s="4"/>
      <c r="C13" s="5" t="e">
        <f>RANK(B13,$B$3:$B$17,1)</f>
        <v>#N/A</v>
      </c>
      <c r="D13" s="5"/>
    </row>
    <row r="14" spans="1:4">
      <c r="A14" s="3" t="s">
        <v>136</v>
      </c>
      <c r="B14" s="4"/>
      <c r="C14" s="5" t="e">
        <f>RANK(B14,$B$3:$B$17,1)</f>
        <v>#N/A</v>
      </c>
      <c r="D14" s="5"/>
    </row>
    <row r="15" spans="1:4">
      <c r="A15" s="3" t="s">
        <v>137</v>
      </c>
      <c r="B15" s="4"/>
      <c r="C15" s="5" t="e">
        <f>RANK(B15,$B$3:$B$17,1)</f>
        <v>#N/A</v>
      </c>
      <c r="D15" s="5"/>
    </row>
    <row r="16" spans="1:4">
      <c r="A16" s="3" t="s">
        <v>138</v>
      </c>
      <c r="B16" s="4"/>
      <c r="C16" s="5" t="e">
        <f>RANK(B16,$B$3:$B$17,1)</f>
        <v>#N/A</v>
      </c>
      <c r="D16" s="5"/>
    </row>
    <row r="17" spans="1:4">
      <c r="A17" s="3" t="s">
        <v>67</v>
      </c>
      <c r="B17" s="4"/>
      <c r="C17" s="5" t="e">
        <f>RANK(B17,$B$3:$B$17,1)</f>
        <v>#N/A</v>
      </c>
      <c r="D17" s="5"/>
    </row>
  </sheetData>
  <sortState ref="A3:D17">
    <sortCondition ref="C3"/>
  </sortState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205" zoomScaleNormal="205" workbookViewId="0">
      <selection activeCell="I11" sqref="I11"/>
    </sheetView>
  </sheetViews>
  <sheetFormatPr defaultColWidth="8.72727272727273" defaultRowHeight="14" outlineLevelRow="7" outlineLevelCol="3"/>
  <cols>
    <col min="1" max="1" width="14" customWidth="1"/>
    <col min="2" max="2" width="9.54545454545454"/>
  </cols>
  <sheetData>
    <row r="1" ht="17.5" spans="1:4">
      <c r="A1" s="1" t="s">
        <v>139</v>
      </c>
      <c r="B1" s="1"/>
      <c r="C1" s="1"/>
      <c r="D1" s="1"/>
    </row>
    <row r="2" spans="1:4">
      <c r="A2" s="2" t="s">
        <v>140</v>
      </c>
      <c r="B2" s="2" t="s">
        <v>3</v>
      </c>
      <c r="C2" s="2" t="s">
        <v>4</v>
      </c>
      <c r="D2" s="2" t="s">
        <v>5</v>
      </c>
    </row>
    <row r="3" spans="1:4">
      <c r="A3" s="3" t="s">
        <v>141</v>
      </c>
      <c r="B3" s="4">
        <v>0.00123009259259259</v>
      </c>
      <c r="C3" s="5">
        <f>RANK(B3,$B$3:$B$8,1)</f>
        <v>1</v>
      </c>
      <c r="D3" s="5"/>
    </row>
    <row r="4" spans="1:4">
      <c r="A4" s="3" t="s">
        <v>142</v>
      </c>
      <c r="B4" s="4">
        <v>0.00135868055555556</v>
      </c>
      <c r="C4" s="5">
        <f>RANK(B4,$B$3:$B$8,1)</f>
        <v>2</v>
      </c>
      <c r="D4" s="5"/>
    </row>
    <row r="5" spans="1:4">
      <c r="A5" s="3" t="s">
        <v>143</v>
      </c>
      <c r="B5" s="4">
        <v>0.00138773148148148</v>
      </c>
      <c r="C5" s="5">
        <f>RANK(B5,$B$3:$B$8,1)</f>
        <v>3</v>
      </c>
      <c r="D5" s="5"/>
    </row>
    <row r="6" spans="1:4">
      <c r="A6" s="3" t="s">
        <v>144</v>
      </c>
      <c r="B6" s="4">
        <v>0.00140833333333333</v>
      </c>
      <c r="C6" s="5">
        <f>RANK(B6,$B$3:$B$8,1)</f>
        <v>4</v>
      </c>
      <c r="D6" s="5"/>
    </row>
    <row r="7" spans="1:4">
      <c r="A7" s="3" t="s">
        <v>145</v>
      </c>
      <c r="B7" s="4">
        <v>0.00141956018518519</v>
      </c>
      <c r="C7" s="5">
        <f>RANK(B7,$B$3:$B$8,1)</f>
        <v>5</v>
      </c>
      <c r="D7" s="5"/>
    </row>
    <row r="8" spans="1:4">
      <c r="A8" s="3" t="s">
        <v>146</v>
      </c>
      <c r="B8" s="4">
        <v>0.00212800925925926</v>
      </c>
      <c r="C8" s="5">
        <f>RANK(B8,$B$3:$B$8,1)</f>
        <v>6</v>
      </c>
      <c r="D8" s="5"/>
    </row>
  </sheetData>
  <sortState ref="A3:D8">
    <sortCondition ref="C3"/>
  </sortState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男子25米蛙泳 </vt:lpstr>
      <vt:lpstr>女子25米蛙泳 </vt:lpstr>
      <vt:lpstr>男子25米自由泳</vt:lpstr>
      <vt:lpstr>女子25米自由泳 </vt:lpstr>
      <vt:lpstr>男子50米自由泳</vt:lpstr>
      <vt:lpstr>女子50米自由泳 </vt:lpstr>
      <vt:lpstr>男子50米蛙泳 </vt:lpstr>
      <vt:lpstr>女子50米蛙泳 </vt:lpstr>
      <vt:lpstr>团体6×25米男女混合接力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杨恒瑞</dc:creator>
  <cp:lastModifiedBy>程程</cp:lastModifiedBy>
  <dcterms:created xsi:type="dcterms:W3CDTF">2023-05-12T11:15:00Z</dcterms:created>
  <cp:lastPrinted>2026-04-28T06:02:00Z</cp:lastPrinted>
  <dcterms:modified xsi:type="dcterms:W3CDTF">2026-04-28T11:37:16Z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780E58E8DF1448AB84148EBC5B91ACCC_12</vt:lpwstr>
  </property>
  <property fmtid="{D5CDD505-2E9C-101B-9397-08002B2CF9AE}" pid="4" name="CalculationRule">
    <vt:i4>0</vt:i4>
  </property>
</Properties>
</file>